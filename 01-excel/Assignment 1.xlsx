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</sheets>
  <definedNames/>
  <calcPr/>
</workbook>
</file>

<file path=xl/sharedStrings.xml><?xml version="1.0" encoding="utf-8"?>
<sst xmlns="http://schemas.openxmlformats.org/spreadsheetml/2006/main" count="154" uniqueCount="105">
  <si>
    <r>
      <rPr>
        <rFont val="Trebuchet MS"/>
        <b/>
        <color rgb="FF000000"/>
        <sz val="10.0"/>
      </rPr>
      <t>Sl.No</t>
    </r>
    <r>
      <rPr>
        <rFont val="Trebuchet MS"/>
        <b/>
        <color theme="1"/>
        <sz val="10.0"/>
      </rPr>
      <t>.</t>
    </r>
  </si>
  <si>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</si>
  <si>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</si>
  <si>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</si>
  <si>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</si>
  <si>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</si>
  <si>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</si>
  <si>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</si>
  <si>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</si>
  <si>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 xml:space="preserve">Country Code </t>
  </si>
  <si>
    <t>Month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</si>
  <si>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</si>
  <si>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</si>
  <si>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</si>
  <si>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</si>
  <si>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</si>
  <si>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</si>
  <si>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</si>
  <si>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</si>
  <si>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</si>
  <si>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</si>
  <si>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</si>
  <si>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</si>
  <si>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</si>
  <si>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</si>
  <si>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</si>
  <si>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</si>
  <si>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</si>
  <si>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</si>
  <si>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</si>
  <si>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</si>
  <si>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</si>
  <si>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</si>
  <si>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</si>
  <si>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</si>
  <si>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</si>
  <si>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</si>
  <si>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</si>
  <si>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</si>
  <si>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</si>
  <si>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</si>
  <si>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</si>
  <si>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</si>
  <si>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</si>
  <si>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</si>
  <si>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</si>
  <si>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</si>
  <si>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</si>
  <si>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</si>
  <si>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</si>
  <si>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</si>
  <si>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</si>
  <si>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</si>
  <si>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</si>
  <si>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</si>
  <si>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</si>
  <si>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</si>
  <si>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</si>
  <si>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</si>
  <si>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</si>
  <si>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</si>
  <si>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</si>
  <si>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</si>
  <si>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</si>
  <si>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</si>
  <si>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</si>
  <si>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</si>
  <si>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</si>
  <si>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</si>
  <si>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</si>
  <si>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</si>
  <si>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</si>
  <si>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</si>
  <si>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</si>
  <si>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</si>
  <si>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</si>
  <si>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</si>
  <si>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</si>
  <si>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</si>
  <si>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</si>
  <si>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</si>
  <si>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</si>
  <si>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</si>
  <si>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</si>
  <si>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</si>
  <si>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</si>
  <si>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</si>
  <si>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</si>
  <si>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</si>
  <si>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</si>
  <si>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</si>
  <si>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</si>
  <si>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</si>
  <si>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</si>
  <si>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</si>
  <si>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</si>
  <si>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</si>
  <si>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</si>
  <si>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</si>
  <si>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Count</t>
  </si>
  <si>
    <t>Average Price</t>
  </si>
  <si>
    <t>Minimum Price</t>
  </si>
  <si>
    <t>Maximum Price</t>
  </si>
  <si>
    <t>Total price for products in the 'Electronics' category</t>
  </si>
  <si>
    <t>Count of products with a price less than $100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</si>
</sst>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8">
    <font>
      <sz val="10.0"/>
      <color rgb="FF000000"/>
      <name val="Arial"/>
      <scheme val="minor"/>
    </font>
    <font>
      <b/>
      <sz val="10.0"/>
      <color theme="1"/>
      <name val="Trebuchet MS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Trebuchet MS"/>
    </font>
    <font>
      <color theme="1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/>
    </xf>
    <xf borderId="3" fillId="2" fontId="1" numFmtId="0" xfId="0" applyAlignment="1" applyBorder="1" applyFill="1" applyFont="1">
      <alignment horizontal="center" readingOrder="0"/>
    </xf>
    <xf borderId="4" fillId="2" fontId="2" numFmtId="0" xfId="0" applyAlignment="1" applyBorder="1" applyFill="1" applyFont="1">
      <alignment horizontal="center" readingOrder="0"/>
    </xf>
    <xf borderId="4" fillId="2" fontId="3" numFmtId="0" xfId="0" applyAlignment="1" applyBorder="1" applyFill="1" applyFont="1">
      <alignment horizontal="center" readingOrder="0"/>
    </xf>
    <xf borderId="5" fillId="2" fontId="3" numFmtId="0" xfId="0" applyAlignment="1" applyBorder="1" applyFill="1" applyFont="1">
      <alignment horizontal="center" readingOrder="0"/>
    </xf>
    <xf borderId="0" fillId="3" fontId="4" numFmtId="0" xfId="0" applyFill="1" applyFont="1"/>
    <xf borderId="1" fillId="3" fontId="5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horizontal="center"/>
    </xf>
    <xf borderId="2" fillId="3" fontId="5" numFmtId="0" xfId="0" applyAlignment="1" applyBorder="1" applyFill="1" applyFont="1">
      <alignment horizontal="center"/>
    </xf>
    <xf borderId="1" fillId="4" fontId="5" numFmtId="0" xfId="0" applyAlignment="1" applyBorder="1" applyFill="1" applyFont="1">
      <alignment horizontal="center"/>
    </xf>
    <xf borderId="1" fillId="4" fontId="6" numFmtId="0" xfId="0" applyAlignment="1" applyBorder="1" applyFill="1" applyFont="1">
      <alignment horizontal="center"/>
    </xf>
    <xf borderId="1" fillId="4" fontId="4" numFmtId="0" xfId="0" applyAlignment="1" applyBorder="1" applyFill="1" applyFont="1">
      <alignment horizontal="center"/>
    </xf>
    <xf borderId="6" fillId="3" fontId="5" numFmtId="0" xfId="0" applyAlignment="1" applyBorder="1" applyFill="1" applyFont="1">
      <alignment horizontal="center" readingOrder="0"/>
    </xf>
    <xf borderId="6" fillId="3" fontId="5" numFmtId="0" xfId="0" applyAlignment="1" applyBorder="1" applyFill="1" applyFont="1">
      <alignment horizontal="center"/>
    </xf>
    <xf borderId="2" fillId="5" fontId="1" numFmtId="0" xfId="0" applyAlignment="1" applyBorder="1" applyFill="1" applyFont="1">
      <alignment horizontal="center" readingOrder="0"/>
    </xf>
    <xf borderId="7" fillId="0" fontId="7" numFmtId="0" xfId="0" applyBorder="1" applyFont="1"/>
    <xf borderId="8" fillId="0" fontId="7" numFmtId="0" xfId="0" applyBorder="1" applyFont="1"/>
    <xf borderId="1" fillId="4" fontId="1" numFmtId="0" xfId="0" applyAlignment="1" applyBorder="1" applyFill="1" applyFont="1">
      <alignment horizontal="center"/>
    </xf>
    <xf borderId="0" fillId="3" fontId="1" numFmtId="0" xfId="0" applyAlignment="1" applyFill="1" applyFont="1">
      <alignment horizontal="center" readingOrder="0"/>
    </xf>
    <xf borderId="0" fillId="0" fontId="5" numFmtId="0" xfId="0" applyAlignment="1" applyFont="1">
      <alignment horizontal="center"/>
    </xf>
    <xf borderId="0" fillId="3" fontId="5" numFmtId="0" xfId="0" applyAlignment="1" applyFill="1" applyFont="1">
      <alignment horizontal="center"/>
    </xf>
    <xf borderId="0" fillId="3" fontId="6" numFmtId="0" xfId="0" applyAlignment="1" applyFill="1" applyFont="1">
      <alignment horizontal="center"/>
    </xf>
    <xf borderId="0" fillId="3" fontId="4" numFmtId="0" xfId="0" applyAlignment="1" applyFill="1" applyFont="1">
      <alignment horizontal="center"/>
    </xf>
    <xf borderId="2" fillId="5" fontId="1" numFmtId="0" xfId="0" applyAlignment="1" applyBorder="1" applyFill="1" applyFont="1">
      <alignment horizontal="center" readingOrder="0" shrinkToFit="0" wrapText="0"/>
    </xf>
    <xf borderId="1" fillId="4" fontId="1" numFmtId="164" xfId="0" applyAlignment="1" applyBorder="1" applyFill="1" applyFont="1" applyNumberFormat="1">
      <alignment horizontal="center"/>
    </xf>
    <xf borderId="0" fillId="3" fontId="1" numFmtId="164" xfId="0" applyAlignment="1" applyFill="1" applyFont="1" applyNumberFormat="1">
      <alignment horizontal="center" readingOrder="0"/>
    </xf>
    <xf borderId="0" fillId="3" fontId="5" numFmtId="0" xfId="0" applyAlignment="1" applyFill="1" applyFont="1">
      <alignment horizontal="center"/>
    </xf>
    <xf borderId="2" fillId="5" fontId="1" numFmtId="0" xfId="0" applyAlignment="1" applyBorder="1" applyFill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3" max="3" width="14.13"/>
    <col customWidth="1" min="6" max="6" width="7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ht="15.75" customHeight="1">
      <c r="A2" s="9">
        <v>1.0</v>
      </c>
      <c r="B2" s="10" t="s">
        <v>11</v>
      </c>
      <c r="C2" s="10" t="s">
        <v>12</v>
      </c>
      <c r="D2" s="10" t="s">
        <v>13</v>
      </c>
      <c r="E2" s="10">
        <v>1000.0</v>
      </c>
      <c r="F2" s="10">
        <v>30.0</v>
      </c>
      <c r="G2" s="11" t="s">
        <v>14</v>
      </c>
      <c r="H2" s="12" t="str">
        <f t="shared" ref="H2:H35" si="1">IF(E2&gt;=500,"High Price","Standard Price")</f>
        <v>High Price</v>
      </c>
      <c r="I2" s="13" t="str">
        <f t="shared" ref="I2:I42" si="2">LEFT(B2,2)</f>
        <v>28</v>
      </c>
      <c r="J2" s="14" t="str">
        <f t="shared" ref="J2:J42" si="3">RIGHT(B2,2)</f>
        <v>US</v>
      </c>
      <c r="K2" s="14" t="str">
        <f t="shared" ref="K2:K42" si="4">MID(B2,4,6)</f>
        <v>JAN-US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t="15.75" customHeight="1">
      <c r="A3" s="9">
        <v>2.0</v>
      </c>
      <c r="B3" s="10" t="s">
        <v>15</v>
      </c>
      <c r="C3" s="10" t="s">
        <v>16</v>
      </c>
      <c r="D3" s="10" t="s">
        <v>17</v>
      </c>
      <c r="E3" s="10">
        <v>80.0</v>
      </c>
      <c r="F3" s="10">
        <v>15.0</v>
      </c>
      <c r="G3" s="11" t="s">
        <v>18</v>
      </c>
      <c r="H3" s="12" t="str">
        <f t="shared" si="1"/>
        <v>Standard Price</v>
      </c>
      <c r="I3" s="13" t="str">
        <f t="shared" si="2"/>
        <v>15</v>
      </c>
      <c r="J3" s="14" t="str">
        <f t="shared" si="3"/>
        <v>US</v>
      </c>
      <c r="K3" s="14" t="str">
        <f t="shared" si="4"/>
        <v>FEB-US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ht="15.75" customHeight="1">
      <c r="A4" s="9">
        <v>3.0</v>
      </c>
      <c r="B4" s="10" t="s">
        <v>19</v>
      </c>
      <c r="C4" s="10" t="s">
        <v>20</v>
      </c>
      <c r="D4" s="10" t="s">
        <v>21</v>
      </c>
      <c r="E4" s="10">
        <v>130.0</v>
      </c>
      <c r="F4" s="10">
        <v>40.0</v>
      </c>
      <c r="G4" s="11" t="s">
        <v>22</v>
      </c>
      <c r="H4" s="12" t="str">
        <f t="shared" si="1"/>
        <v>Standard Price</v>
      </c>
      <c r="I4" s="13" t="str">
        <f t="shared" si="2"/>
        <v>03</v>
      </c>
      <c r="J4" s="14" t="str">
        <f t="shared" si="3"/>
        <v>US</v>
      </c>
      <c r="K4" s="14" t="str">
        <f t="shared" si="4"/>
        <v>MAR-US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15.75" customHeight="1">
      <c r="A5" s="9">
        <v>4.0</v>
      </c>
      <c r="B5" s="10" t="s">
        <v>23</v>
      </c>
      <c r="C5" s="10" t="s">
        <v>24</v>
      </c>
      <c r="D5" s="10" t="s">
        <v>25</v>
      </c>
      <c r="E5" s="10">
        <v>900.0</v>
      </c>
      <c r="F5" s="10">
        <v>25.0</v>
      </c>
      <c r="G5" s="11" t="s">
        <v>14</v>
      </c>
      <c r="H5" s="12" t="str">
        <f t="shared" si="1"/>
        <v>High Price</v>
      </c>
      <c r="I5" s="13" t="str">
        <f t="shared" si="2"/>
        <v>11</v>
      </c>
      <c r="J5" s="14" t="str">
        <f t="shared" si="3"/>
        <v>US</v>
      </c>
      <c r="K5" s="14" t="str">
        <f t="shared" si="4"/>
        <v>APR-US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ht="15.75" customHeight="1">
      <c r="A6" s="9">
        <v>5.0</v>
      </c>
      <c r="B6" s="10" t="s">
        <v>26</v>
      </c>
      <c r="C6" s="10" t="s">
        <v>27</v>
      </c>
      <c r="D6" s="10" t="s">
        <v>28</v>
      </c>
      <c r="E6" s="10">
        <v>70.0</v>
      </c>
      <c r="F6" s="10">
        <v>20.0</v>
      </c>
      <c r="G6" s="11" t="s">
        <v>29</v>
      </c>
      <c r="H6" s="12" t="str">
        <f t="shared" si="1"/>
        <v>Standard Price</v>
      </c>
      <c r="I6" s="13" t="str">
        <f t="shared" si="2"/>
        <v>22</v>
      </c>
      <c r="J6" s="14" t="str">
        <f t="shared" si="3"/>
        <v>US</v>
      </c>
      <c r="K6" s="14" t="str">
        <f t="shared" si="4"/>
        <v>MAY-US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15.75" customHeight="1">
      <c r="A7" s="9">
        <v>6.0</v>
      </c>
      <c r="B7" s="10" t="s">
        <v>30</v>
      </c>
      <c r="C7" s="10" t="s">
        <v>31</v>
      </c>
      <c r="D7" s="10" t="s">
        <v>32</v>
      </c>
      <c r="E7" s="10">
        <v>200.0</v>
      </c>
      <c r="F7" s="10">
        <v>45.0</v>
      </c>
      <c r="G7" s="11" t="s">
        <v>14</v>
      </c>
      <c r="H7" s="12" t="str">
        <f t="shared" si="1"/>
        <v>Standard Price</v>
      </c>
      <c r="I7" s="13" t="str">
        <f t="shared" si="2"/>
        <v>07</v>
      </c>
      <c r="J7" s="14" t="str">
        <f t="shared" si="3"/>
        <v>UK</v>
      </c>
      <c r="K7" s="14" t="str">
        <f t="shared" si="4"/>
        <v>JUN-UK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ht="15.75" customHeight="1">
      <c r="A8" s="9">
        <v>7.0</v>
      </c>
      <c r="B8" s="10" t="s">
        <v>33</v>
      </c>
      <c r="C8" s="10" t="s">
        <v>34</v>
      </c>
      <c r="D8" s="10" t="s">
        <v>35</v>
      </c>
      <c r="E8" s="10">
        <v>30.0</v>
      </c>
      <c r="F8" s="10">
        <v>5.0</v>
      </c>
      <c r="G8" s="11" t="s">
        <v>18</v>
      </c>
      <c r="H8" s="12" t="str">
        <f t="shared" si="1"/>
        <v>Standard Price</v>
      </c>
      <c r="I8" s="13" t="str">
        <f t="shared" si="2"/>
        <v>19</v>
      </c>
      <c r="J8" s="14" t="str">
        <f t="shared" si="3"/>
        <v>UK</v>
      </c>
      <c r="K8" s="14" t="str">
        <f t="shared" si="4"/>
        <v>JUL-UK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ht="15.75" customHeight="1">
      <c r="A9" s="9">
        <v>8.0</v>
      </c>
      <c r="B9" s="10" t="s">
        <v>36</v>
      </c>
      <c r="C9" s="10" t="s">
        <v>37</v>
      </c>
      <c r="D9" s="10" t="s">
        <v>38</v>
      </c>
      <c r="E9" s="10">
        <v>90.0</v>
      </c>
      <c r="F9" s="10">
        <v>35.0</v>
      </c>
      <c r="G9" s="11" t="s">
        <v>22</v>
      </c>
      <c r="H9" s="12" t="str">
        <f t="shared" si="1"/>
        <v>Standard Price</v>
      </c>
      <c r="I9" s="13" t="str">
        <f t="shared" si="2"/>
        <v>23</v>
      </c>
      <c r="J9" s="14" t="str">
        <f t="shared" si="3"/>
        <v>UK</v>
      </c>
      <c r="K9" s="14" t="str">
        <f t="shared" si="4"/>
        <v>AUG-UK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ht="15.75" customHeight="1">
      <c r="A10" s="9">
        <v>9.0</v>
      </c>
      <c r="B10" s="10" t="s">
        <v>39</v>
      </c>
      <c r="C10" s="10" t="s">
        <v>40</v>
      </c>
      <c r="D10" s="10" t="s">
        <v>41</v>
      </c>
      <c r="E10" s="10">
        <v>500.0</v>
      </c>
      <c r="F10" s="10">
        <v>50.0</v>
      </c>
      <c r="G10" s="11" t="s">
        <v>14</v>
      </c>
      <c r="H10" s="12" t="str">
        <f t="shared" si="1"/>
        <v>High Price</v>
      </c>
      <c r="I10" s="13" t="str">
        <f t="shared" si="2"/>
        <v>05</v>
      </c>
      <c r="J10" s="14" t="str">
        <f t="shared" si="3"/>
        <v>UK</v>
      </c>
      <c r="K10" s="14" t="str">
        <f t="shared" si="4"/>
        <v>SEP-UK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15.75" customHeight="1">
      <c r="A11" s="9">
        <v>10.0</v>
      </c>
      <c r="B11" s="10" t="s">
        <v>42</v>
      </c>
      <c r="C11" s="10" t="s">
        <v>43</v>
      </c>
      <c r="D11" s="10" t="s">
        <v>44</v>
      </c>
      <c r="E11" s="10">
        <v>130.0</v>
      </c>
      <c r="F11" s="10">
        <v>10.0</v>
      </c>
      <c r="G11" s="11" t="s">
        <v>29</v>
      </c>
      <c r="H11" s="12" t="str">
        <f t="shared" si="1"/>
        <v>Standard Price</v>
      </c>
      <c r="I11" s="13" t="str">
        <f t="shared" si="2"/>
        <v>14</v>
      </c>
      <c r="J11" s="14" t="str">
        <f t="shared" si="3"/>
        <v>UK</v>
      </c>
      <c r="K11" s="14" t="str">
        <f t="shared" si="4"/>
        <v>OCT-UK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ht="15.75" customHeight="1">
      <c r="A12" s="9">
        <v>11.0</v>
      </c>
      <c r="B12" s="10" t="s">
        <v>45</v>
      </c>
      <c r="C12" s="10" t="s">
        <v>12</v>
      </c>
      <c r="D12" s="10" t="s">
        <v>46</v>
      </c>
      <c r="E12" s="10">
        <v>950.0</v>
      </c>
      <c r="F12" s="10">
        <v>25.0</v>
      </c>
      <c r="G12" s="11" t="s">
        <v>14</v>
      </c>
      <c r="H12" s="12" t="str">
        <f t="shared" si="1"/>
        <v>High Price</v>
      </c>
      <c r="I12" s="13" t="str">
        <f t="shared" si="2"/>
        <v>17</v>
      </c>
      <c r="J12" s="14" t="str">
        <f t="shared" si="3"/>
        <v>IN</v>
      </c>
      <c r="K12" s="14" t="str">
        <f t="shared" si="4"/>
        <v>JUN-IN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ht="15.75" customHeight="1">
      <c r="A13" s="9">
        <v>12.0</v>
      </c>
      <c r="B13" s="10" t="s">
        <v>47</v>
      </c>
      <c r="C13" s="10" t="s">
        <v>16</v>
      </c>
      <c r="D13" s="10" t="s">
        <v>35</v>
      </c>
      <c r="E13" s="10">
        <v>90.0</v>
      </c>
      <c r="F13" s="10">
        <v>40.0</v>
      </c>
      <c r="G13" s="11" t="s">
        <v>18</v>
      </c>
      <c r="H13" s="12" t="str">
        <f t="shared" si="1"/>
        <v>Standard Price</v>
      </c>
      <c r="I13" s="13" t="str">
        <f t="shared" si="2"/>
        <v>25</v>
      </c>
      <c r="J13" s="14" t="str">
        <f t="shared" si="3"/>
        <v>AU</v>
      </c>
      <c r="K13" s="14" t="str">
        <f t="shared" si="4"/>
        <v>NOV-AU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ht="15.75" customHeight="1">
      <c r="A14" s="9">
        <v>13.0</v>
      </c>
      <c r="B14" s="10" t="s">
        <v>48</v>
      </c>
      <c r="C14" s="10" t="s">
        <v>20</v>
      </c>
      <c r="D14" s="10" t="s">
        <v>49</v>
      </c>
      <c r="E14" s="10">
        <v>120.0</v>
      </c>
      <c r="F14" s="10">
        <v>35.0</v>
      </c>
      <c r="G14" s="11" t="s">
        <v>22</v>
      </c>
      <c r="H14" s="12" t="str">
        <f t="shared" si="1"/>
        <v>Standard Price</v>
      </c>
      <c r="I14" s="13" t="str">
        <f t="shared" si="2"/>
        <v>08</v>
      </c>
      <c r="J14" s="14" t="str">
        <f t="shared" si="3"/>
        <v>DE</v>
      </c>
      <c r="K14" s="14" t="str">
        <f t="shared" si="4"/>
        <v>DEC-DE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ht="15.75" customHeight="1">
      <c r="A15" s="9">
        <v>14.0</v>
      </c>
      <c r="B15" s="10" t="s">
        <v>50</v>
      </c>
      <c r="C15" s="10" t="s">
        <v>51</v>
      </c>
      <c r="D15" s="10" t="s">
        <v>52</v>
      </c>
      <c r="E15" s="10">
        <v>150.0</v>
      </c>
      <c r="F15" s="10">
        <v>15.0</v>
      </c>
      <c r="G15" s="11" t="s">
        <v>14</v>
      </c>
      <c r="H15" s="12" t="str">
        <f t="shared" si="1"/>
        <v>Standard Price</v>
      </c>
      <c r="I15" s="13" t="str">
        <f t="shared" si="2"/>
        <v>18</v>
      </c>
      <c r="J15" s="14" t="str">
        <f t="shared" si="3"/>
        <v>CA</v>
      </c>
      <c r="K15" s="14" t="str">
        <f t="shared" si="4"/>
        <v>FEB-CA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ht="15.75" customHeight="1">
      <c r="A16" s="9">
        <v>15.0</v>
      </c>
      <c r="B16" s="10" t="s">
        <v>53</v>
      </c>
      <c r="C16" s="10" t="s">
        <v>31</v>
      </c>
      <c r="D16" s="10" t="s">
        <v>54</v>
      </c>
      <c r="E16" s="10">
        <v>250.0</v>
      </c>
      <c r="F16" s="10">
        <v>20.0</v>
      </c>
      <c r="G16" s="11" t="s">
        <v>14</v>
      </c>
      <c r="H16" s="12" t="str">
        <f t="shared" si="1"/>
        <v>Standard Price</v>
      </c>
      <c r="I16" s="13" t="str">
        <f t="shared" si="2"/>
        <v>16</v>
      </c>
      <c r="J16" s="14" t="str">
        <f t="shared" si="3"/>
        <v>ES</v>
      </c>
      <c r="K16" s="14" t="str">
        <f t="shared" si="4"/>
        <v>APR-ES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ht="15.75" customHeight="1">
      <c r="A17" s="9">
        <v>16.0</v>
      </c>
      <c r="B17" s="10" t="s">
        <v>55</v>
      </c>
      <c r="C17" s="10" t="s">
        <v>56</v>
      </c>
      <c r="D17" s="10" t="s">
        <v>57</v>
      </c>
      <c r="E17" s="10">
        <v>50.0</v>
      </c>
      <c r="F17" s="10">
        <v>35.0</v>
      </c>
      <c r="G17" s="11" t="s">
        <v>58</v>
      </c>
      <c r="H17" s="12" t="str">
        <f t="shared" si="1"/>
        <v>Standard Price</v>
      </c>
      <c r="I17" s="13" t="str">
        <f t="shared" si="2"/>
        <v>21</v>
      </c>
      <c r="J17" s="14" t="str">
        <f t="shared" si="3"/>
        <v>CA</v>
      </c>
      <c r="K17" s="14" t="str">
        <f t="shared" si="4"/>
        <v>AUG-CA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t="15.75" customHeight="1">
      <c r="A18" s="9">
        <v>17.0</v>
      </c>
      <c r="B18" s="10" t="s">
        <v>59</v>
      </c>
      <c r="C18" s="10" t="s">
        <v>51</v>
      </c>
      <c r="D18" s="10" t="s">
        <v>60</v>
      </c>
      <c r="E18" s="10">
        <v>160.0</v>
      </c>
      <c r="F18" s="10">
        <v>15.0</v>
      </c>
      <c r="G18" s="11" t="s">
        <v>14</v>
      </c>
      <c r="H18" s="12" t="str">
        <f t="shared" si="1"/>
        <v>Standard Price</v>
      </c>
      <c r="I18" s="13" t="str">
        <f t="shared" si="2"/>
        <v>20</v>
      </c>
      <c r="J18" s="14" t="str">
        <f t="shared" si="3"/>
        <v>CN</v>
      </c>
      <c r="K18" s="14" t="str">
        <f t="shared" si="4"/>
        <v>AUG-CN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ht="15.75" customHeight="1">
      <c r="A19" s="9">
        <v>18.0</v>
      </c>
      <c r="B19" s="10" t="s">
        <v>61</v>
      </c>
      <c r="C19" s="10" t="s">
        <v>12</v>
      </c>
      <c r="D19" s="10" t="s">
        <v>62</v>
      </c>
      <c r="E19" s="10">
        <v>980.0</v>
      </c>
      <c r="F19" s="10">
        <v>10.0</v>
      </c>
      <c r="G19" s="11" t="s">
        <v>14</v>
      </c>
      <c r="H19" s="12" t="str">
        <f t="shared" si="1"/>
        <v>High Price</v>
      </c>
      <c r="I19" s="13" t="str">
        <f t="shared" si="2"/>
        <v>27</v>
      </c>
      <c r="J19" s="14" t="str">
        <f t="shared" si="3"/>
        <v>IT</v>
      </c>
      <c r="K19" s="14" t="str">
        <f t="shared" si="4"/>
        <v>JAN-IT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t="15.75" customHeight="1">
      <c r="A20" s="9">
        <v>19.0</v>
      </c>
      <c r="B20" s="10" t="s">
        <v>63</v>
      </c>
      <c r="C20" s="10" t="s">
        <v>64</v>
      </c>
      <c r="D20" s="10" t="s">
        <v>65</v>
      </c>
      <c r="E20" s="10">
        <v>150.0</v>
      </c>
      <c r="F20" s="10">
        <v>15.0</v>
      </c>
      <c r="G20" s="11" t="s">
        <v>18</v>
      </c>
      <c r="H20" s="12" t="str">
        <f t="shared" si="1"/>
        <v>Standard Price</v>
      </c>
      <c r="I20" s="13" t="str">
        <f t="shared" si="2"/>
        <v>01</v>
      </c>
      <c r="J20" s="14" t="str">
        <f t="shared" si="3"/>
        <v>UK</v>
      </c>
      <c r="K20" s="14" t="str">
        <f t="shared" si="4"/>
        <v>MAR-UK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t="15.75" customHeight="1">
      <c r="A21" s="9">
        <v>20.0</v>
      </c>
      <c r="B21" s="10" t="s">
        <v>66</v>
      </c>
      <c r="C21" s="10" t="s">
        <v>67</v>
      </c>
      <c r="D21" s="10" t="s">
        <v>68</v>
      </c>
      <c r="E21" s="10">
        <v>200.0</v>
      </c>
      <c r="F21" s="10">
        <v>10.0</v>
      </c>
      <c r="G21" s="11" t="s">
        <v>29</v>
      </c>
      <c r="H21" s="12" t="str">
        <f t="shared" si="1"/>
        <v>Standard Price</v>
      </c>
      <c r="I21" s="13" t="str">
        <f t="shared" si="2"/>
        <v>14</v>
      </c>
      <c r="J21" s="14" t="str">
        <f t="shared" si="3"/>
        <v>US</v>
      </c>
      <c r="K21" s="14" t="str">
        <f t="shared" si="4"/>
        <v>AUG-US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ht="15.75" customHeight="1">
      <c r="A22" s="9">
        <v>21.0</v>
      </c>
      <c r="B22" s="10" t="s">
        <v>69</v>
      </c>
      <c r="C22" s="10" t="s">
        <v>70</v>
      </c>
      <c r="D22" s="10" t="s">
        <v>71</v>
      </c>
      <c r="E22" s="10">
        <v>700.0</v>
      </c>
      <c r="F22" s="10">
        <v>50.0</v>
      </c>
      <c r="G22" s="11" t="s">
        <v>14</v>
      </c>
      <c r="H22" s="12" t="str">
        <f t="shared" si="1"/>
        <v>High Price</v>
      </c>
      <c r="I22" s="13" t="str">
        <f t="shared" si="2"/>
        <v>14</v>
      </c>
      <c r="J22" s="14" t="str">
        <f t="shared" si="3"/>
        <v>RU</v>
      </c>
      <c r="K22" s="14" t="str">
        <f t="shared" si="4"/>
        <v>MAY-RU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9">
        <v>22.0</v>
      </c>
      <c r="B23" s="10" t="s">
        <v>72</v>
      </c>
      <c r="C23" s="10" t="s">
        <v>73</v>
      </c>
      <c r="D23" s="10" t="s">
        <v>74</v>
      </c>
      <c r="E23" s="10">
        <v>80.0</v>
      </c>
      <c r="F23" s="10">
        <v>20.0</v>
      </c>
      <c r="G23" s="11" t="s">
        <v>22</v>
      </c>
      <c r="H23" s="12" t="str">
        <f t="shared" si="1"/>
        <v>Standard Price</v>
      </c>
      <c r="I23" s="13" t="str">
        <f t="shared" si="2"/>
        <v>09</v>
      </c>
      <c r="J23" s="14" t="str">
        <f t="shared" si="3"/>
        <v>CA</v>
      </c>
      <c r="K23" s="14" t="str">
        <f t="shared" si="4"/>
        <v>JAN-CA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9">
        <v>23.0</v>
      </c>
      <c r="B24" s="10" t="s">
        <v>75</v>
      </c>
      <c r="C24" s="10" t="s">
        <v>76</v>
      </c>
      <c r="D24" s="10" t="s">
        <v>77</v>
      </c>
      <c r="E24" s="10">
        <v>150.0</v>
      </c>
      <c r="F24" s="10">
        <v>30.0</v>
      </c>
      <c r="G24" s="11" t="s">
        <v>14</v>
      </c>
      <c r="H24" s="12" t="str">
        <f t="shared" si="1"/>
        <v>Standard Price</v>
      </c>
      <c r="I24" s="13" t="str">
        <f t="shared" si="2"/>
        <v>19</v>
      </c>
      <c r="J24" s="14" t="str">
        <f t="shared" si="3"/>
        <v>BR</v>
      </c>
      <c r="K24" s="14" t="str">
        <f t="shared" si="4"/>
        <v>JUL-BR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9">
        <v>24.0</v>
      </c>
      <c r="B25" s="10" t="s">
        <v>55</v>
      </c>
      <c r="C25" s="10" t="s">
        <v>56</v>
      </c>
      <c r="D25" s="10" t="s">
        <v>57</v>
      </c>
      <c r="E25" s="10">
        <v>50.0</v>
      </c>
      <c r="F25" s="10">
        <v>35.0</v>
      </c>
      <c r="G25" s="11" t="s">
        <v>58</v>
      </c>
      <c r="H25" s="12" t="str">
        <f t="shared" si="1"/>
        <v>Standard Price</v>
      </c>
      <c r="I25" s="13" t="str">
        <f t="shared" si="2"/>
        <v>21</v>
      </c>
      <c r="J25" s="14" t="str">
        <f t="shared" si="3"/>
        <v>CA</v>
      </c>
      <c r="K25" s="14" t="str">
        <f t="shared" si="4"/>
        <v>AUG-CA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9">
        <v>25.0</v>
      </c>
      <c r="B26" s="10" t="s">
        <v>78</v>
      </c>
      <c r="C26" s="10" t="s">
        <v>24</v>
      </c>
      <c r="D26" s="10" t="s">
        <v>79</v>
      </c>
      <c r="E26" s="10">
        <v>800.0</v>
      </c>
      <c r="F26" s="10">
        <v>45.0</v>
      </c>
      <c r="G26" s="11" t="s">
        <v>14</v>
      </c>
      <c r="H26" s="12" t="str">
        <f t="shared" si="1"/>
        <v>High Price</v>
      </c>
      <c r="I26" s="13" t="str">
        <f t="shared" si="2"/>
        <v>29</v>
      </c>
      <c r="J26" s="14" t="str">
        <f t="shared" si="3"/>
        <v>CA</v>
      </c>
      <c r="K26" s="14" t="str">
        <f t="shared" si="4"/>
        <v>SEP-CA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9">
        <v>26.0</v>
      </c>
      <c r="B27" s="10" t="s">
        <v>80</v>
      </c>
      <c r="C27" s="10" t="s">
        <v>64</v>
      </c>
      <c r="D27" s="10" t="s">
        <v>81</v>
      </c>
      <c r="E27" s="10">
        <v>130.0</v>
      </c>
      <c r="F27" s="10">
        <v>25.0</v>
      </c>
      <c r="G27" s="11" t="s">
        <v>18</v>
      </c>
      <c r="H27" s="12" t="str">
        <f t="shared" si="1"/>
        <v>Standard Price</v>
      </c>
      <c r="I27" s="13" t="str">
        <f t="shared" si="2"/>
        <v>03</v>
      </c>
      <c r="J27" s="14" t="str">
        <f t="shared" si="3"/>
        <v>CA</v>
      </c>
      <c r="K27" s="14" t="str">
        <f t="shared" si="4"/>
        <v>JUN-CA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5.75" customHeight="1">
      <c r="A28" s="9">
        <v>27.0</v>
      </c>
      <c r="B28" s="10" t="s">
        <v>82</v>
      </c>
      <c r="C28" s="10" t="s">
        <v>37</v>
      </c>
      <c r="D28" s="10" t="s">
        <v>83</v>
      </c>
      <c r="E28" s="10">
        <v>400.0</v>
      </c>
      <c r="F28" s="10">
        <v>40.0</v>
      </c>
      <c r="G28" s="11" t="s">
        <v>22</v>
      </c>
      <c r="H28" s="12" t="str">
        <f t="shared" si="1"/>
        <v>Standard Price</v>
      </c>
      <c r="I28" s="13" t="str">
        <f t="shared" si="2"/>
        <v>11</v>
      </c>
      <c r="J28" s="14" t="str">
        <f t="shared" si="3"/>
        <v>CA</v>
      </c>
      <c r="K28" s="14" t="str">
        <f t="shared" si="4"/>
        <v>JUL-CA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5.75" customHeight="1">
      <c r="A29" s="9">
        <v>28.0</v>
      </c>
      <c r="B29" s="10" t="s">
        <v>53</v>
      </c>
      <c r="C29" s="10" t="s">
        <v>31</v>
      </c>
      <c r="D29" s="10" t="s">
        <v>54</v>
      </c>
      <c r="E29" s="10">
        <v>230.0</v>
      </c>
      <c r="F29" s="10">
        <v>20.0</v>
      </c>
      <c r="G29" s="11" t="s">
        <v>14</v>
      </c>
      <c r="H29" s="12" t="str">
        <f t="shared" si="1"/>
        <v>Standard Price</v>
      </c>
      <c r="I29" s="13" t="str">
        <f t="shared" si="2"/>
        <v>16</v>
      </c>
      <c r="J29" s="14" t="str">
        <f t="shared" si="3"/>
        <v>ES</v>
      </c>
      <c r="K29" s="14" t="str">
        <f t="shared" si="4"/>
        <v>APR-ES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5.75" customHeight="1">
      <c r="A30" s="9">
        <v>29.0</v>
      </c>
      <c r="B30" s="10" t="s">
        <v>84</v>
      </c>
      <c r="C30" s="10" t="s">
        <v>85</v>
      </c>
      <c r="D30" s="10" t="s">
        <v>86</v>
      </c>
      <c r="E30" s="10">
        <v>60.0</v>
      </c>
      <c r="F30" s="10">
        <v>30.0</v>
      </c>
      <c r="G30" s="11" t="s">
        <v>18</v>
      </c>
      <c r="H30" s="12" t="str">
        <f t="shared" si="1"/>
        <v>Standard Price</v>
      </c>
      <c r="I30" s="13" t="str">
        <f t="shared" si="2"/>
        <v>07</v>
      </c>
      <c r="J30" s="14" t="str">
        <f t="shared" si="3"/>
        <v>CA</v>
      </c>
      <c r="K30" s="14" t="str">
        <f t="shared" si="4"/>
        <v>MAR-CA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5.75" customHeight="1">
      <c r="A31" s="9">
        <v>30.0</v>
      </c>
      <c r="B31" s="10" t="s">
        <v>87</v>
      </c>
      <c r="C31" s="10" t="s">
        <v>88</v>
      </c>
      <c r="D31" s="10" t="s">
        <v>89</v>
      </c>
      <c r="E31" s="10">
        <v>40.0</v>
      </c>
      <c r="F31" s="10">
        <v>10.0</v>
      </c>
      <c r="G31" s="11" t="s">
        <v>22</v>
      </c>
      <c r="H31" s="12" t="str">
        <f t="shared" si="1"/>
        <v>Standard Price</v>
      </c>
      <c r="I31" s="13" t="str">
        <f t="shared" si="2"/>
        <v>13</v>
      </c>
      <c r="J31" s="14" t="str">
        <f t="shared" si="3"/>
        <v>CA</v>
      </c>
      <c r="K31" s="14" t="str">
        <f t="shared" si="4"/>
        <v>APR-CA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5.75" customHeight="1">
      <c r="A32" s="9">
        <v>31.0</v>
      </c>
      <c r="B32" s="10" t="s">
        <v>90</v>
      </c>
      <c r="C32" s="10" t="s">
        <v>76</v>
      </c>
      <c r="D32" s="10" t="s">
        <v>91</v>
      </c>
      <c r="E32" s="10">
        <v>130.0</v>
      </c>
      <c r="F32" s="10">
        <v>5.0</v>
      </c>
      <c r="G32" s="11" t="s">
        <v>14</v>
      </c>
      <c r="H32" s="12" t="str">
        <f t="shared" si="1"/>
        <v>Standard Price</v>
      </c>
      <c r="I32" s="13" t="str">
        <f t="shared" si="2"/>
        <v>24</v>
      </c>
      <c r="J32" s="14" t="str">
        <f t="shared" si="3"/>
        <v>CA</v>
      </c>
      <c r="K32" s="14" t="str">
        <f t="shared" si="4"/>
        <v>MAY-CA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5.75" customHeight="1">
      <c r="A33" s="9">
        <v>32.0</v>
      </c>
      <c r="B33" s="10" t="s">
        <v>92</v>
      </c>
      <c r="C33" s="10" t="s">
        <v>93</v>
      </c>
      <c r="D33" s="10" t="s">
        <v>94</v>
      </c>
      <c r="E33" s="10">
        <v>50.0</v>
      </c>
      <c r="F33" s="10">
        <v>50.0</v>
      </c>
      <c r="G33" s="11" t="s">
        <v>18</v>
      </c>
      <c r="H33" s="12" t="str">
        <f t="shared" si="1"/>
        <v>Standard Price</v>
      </c>
      <c r="I33" s="13" t="str">
        <f t="shared" si="2"/>
        <v>02</v>
      </c>
      <c r="J33" s="14" t="str">
        <f t="shared" si="3"/>
        <v>CA</v>
      </c>
      <c r="K33" s="14" t="str">
        <f t="shared" si="4"/>
        <v>DEC-CA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5.75" customHeight="1">
      <c r="A34" s="9">
        <v>33.0</v>
      </c>
      <c r="B34" s="10" t="s">
        <v>45</v>
      </c>
      <c r="C34" s="10" t="s">
        <v>12</v>
      </c>
      <c r="D34" s="10" t="s">
        <v>46</v>
      </c>
      <c r="E34" s="10">
        <v>950.0</v>
      </c>
      <c r="F34" s="10">
        <v>25.0</v>
      </c>
      <c r="G34" s="11" t="s">
        <v>14</v>
      </c>
      <c r="H34" s="12" t="str">
        <f t="shared" si="1"/>
        <v>High Price</v>
      </c>
      <c r="I34" s="13" t="str">
        <f t="shared" si="2"/>
        <v>17</v>
      </c>
      <c r="J34" s="14" t="str">
        <f t="shared" si="3"/>
        <v>IN</v>
      </c>
      <c r="K34" s="14" t="str">
        <f t="shared" si="4"/>
        <v>JUN-IN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5.75" customHeight="1">
      <c r="A35" s="15">
        <v>34.0</v>
      </c>
      <c r="B35" s="16" t="s">
        <v>95</v>
      </c>
      <c r="C35" s="16" t="s">
        <v>96</v>
      </c>
      <c r="D35" s="16" t="s">
        <v>97</v>
      </c>
      <c r="E35" s="10">
        <v>100.0</v>
      </c>
      <c r="F35" s="10">
        <v>20.0</v>
      </c>
      <c r="G35" s="11" t="s">
        <v>58</v>
      </c>
      <c r="H35" s="12" t="str">
        <f t="shared" si="1"/>
        <v>Standard Price</v>
      </c>
      <c r="I35" s="13" t="str">
        <f t="shared" si="2"/>
        <v>09</v>
      </c>
      <c r="J35" s="14" t="str">
        <f t="shared" si="3"/>
        <v>FR</v>
      </c>
      <c r="K35" s="14" t="str">
        <f t="shared" si="4"/>
        <v>JUL-FR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5.75" customHeight="1">
      <c r="A36" s="17" t="s">
        <v>98</v>
      </c>
      <c r="B36" s="18"/>
      <c r="C36" s="18"/>
      <c r="D36" s="19"/>
      <c r="E36" s="20">
        <f>sum(E2:E35)</f>
        <v>10100</v>
      </c>
      <c r="F36" s="21"/>
      <c r="G36" s="22"/>
      <c r="H36" s="23"/>
      <c r="I36" s="24" t="str">
        <f t="shared" si="2"/>
        <v/>
      </c>
      <c r="J36" s="25" t="str">
        <f t="shared" si="3"/>
        <v/>
      </c>
      <c r="K36" s="25" t="str">
        <f t="shared" si="4"/>
        <v/>
      </c>
    </row>
    <row r="37" ht="15.75" customHeight="1">
      <c r="A37" s="26" t="s">
        <v>99</v>
      </c>
      <c r="B37" s="18"/>
      <c r="C37" s="18"/>
      <c r="D37" s="19"/>
      <c r="E37" s="20">
        <f>COUNT(E2:E35)</f>
        <v>34</v>
      </c>
      <c r="F37" s="21"/>
      <c r="G37" s="22"/>
      <c r="H37" s="23"/>
      <c r="I37" s="24" t="str">
        <f t="shared" si="2"/>
        <v/>
      </c>
      <c r="J37" s="25" t="str">
        <f t="shared" si="3"/>
        <v/>
      </c>
      <c r="K37" s="25" t="str">
        <f t="shared" si="4"/>
        <v/>
      </c>
    </row>
    <row r="38" ht="15.75" customHeight="1">
      <c r="A38" s="17" t="s">
        <v>100</v>
      </c>
      <c r="B38" s="18"/>
      <c r="C38" s="18"/>
      <c r="D38" s="19"/>
      <c r="E38" s="27">
        <f>AVERAGE(E2:E37)</f>
        <v>562.0555556</v>
      </c>
      <c r="F38" s="28"/>
      <c r="G38" s="22"/>
      <c r="H38" s="23"/>
      <c r="I38" s="24" t="str">
        <f t="shared" si="2"/>
        <v/>
      </c>
      <c r="J38" s="25" t="str">
        <f t="shared" si="3"/>
        <v/>
      </c>
      <c r="K38" s="25" t="str">
        <f t="shared" si="4"/>
        <v/>
      </c>
    </row>
    <row r="39" ht="15.75" customHeight="1">
      <c r="A39" s="17" t="s">
        <v>101</v>
      </c>
      <c r="B39" s="18"/>
      <c r="C39" s="18"/>
      <c r="D39" s="19"/>
      <c r="E39" s="20">
        <f>MIN(E2:E35)</f>
        <v>30</v>
      </c>
      <c r="F39" s="21"/>
      <c r="G39" s="22"/>
      <c r="H39" s="23"/>
      <c r="I39" s="24" t="str">
        <f t="shared" si="2"/>
        <v/>
      </c>
      <c r="J39" s="25" t="str">
        <f t="shared" si="3"/>
        <v/>
      </c>
      <c r="K39" s="25" t="str">
        <f t="shared" si="4"/>
        <v/>
      </c>
    </row>
    <row r="40" ht="15.75" customHeight="1">
      <c r="A40" s="17" t="s">
        <v>102</v>
      </c>
      <c r="B40" s="18"/>
      <c r="C40" s="18"/>
      <c r="D40" s="19"/>
      <c r="E40" s="20">
        <f>MAX(E2:E35)</f>
        <v>1000</v>
      </c>
      <c r="F40" s="21"/>
      <c r="G40" s="22"/>
      <c r="H40" s="23"/>
      <c r="I40" s="24" t="str">
        <f t="shared" si="2"/>
        <v/>
      </c>
      <c r="J40" s="25" t="str">
        <f t="shared" si="3"/>
        <v/>
      </c>
      <c r="K40" s="25" t="str">
        <f t="shared" si="4"/>
        <v/>
      </c>
    </row>
    <row r="41" ht="15.75" customHeight="1">
      <c r="A41" s="17" t="s">
        <v>103</v>
      </c>
      <c r="B41" s="18"/>
      <c r="C41" s="18"/>
      <c r="D41" s="19"/>
      <c r="E41" s="20">
        <f>SUMIF(G2:G35,"Electronics",E2:E35)</f>
        <v>8050</v>
      </c>
      <c r="F41" s="29"/>
      <c r="G41" s="22"/>
      <c r="H41" s="22"/>
      <c r="I41" s="24" t="str">
        <f t="shared" si="2"/>
        <v/>
      </c>
      <c r="J41" s="25" t="str">
        <f t="shared" si="3"/>
        <v/>
      </c>
      <c r="K41" s="25" t="str">
        <f t="shared" si="4"/>
        <v/>
      </c>
    </row>
    <row r="42">
      <c r="A42" s="30" t="s">
        <v>104</v>
      </c>
      <c r="B42" s="18"/>
      <c r="C42" s="18"/>
      <c r="D42" s="19"/>
      <c r="E42" s="20">
        <f>COUNTIF(E2:E35,"&lt;100")</f>
        <v>11</v>
      </c>
      <c r="F42" s="29"/>
      <c r="G42" s="22"/>
      <c r="H42" s="22"/>
      <c r="I42" s="24" t="str">
        <f t="shared" si="2"/>
        <v/>
      </c>
      <c r="J42" s="25" t="str">
        <f t="shared" si="3"/>
        <v/>
      </c>
      <c r="K42" s="25" t="str">
        <f t="shared" si="4"/>
        <v/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36:D36"/>
    <mergeCell ref="A37:D37"/>
    <mergeCell ref="A38:D38"/>
    <mergeCell ref="A39:D39"/>
    <mergeCell ref="A40:D40"/>
    <mergeCell ref="A41:D41"/>
    <mergeCell ref="A42:D42"/>
  </mergeCells>
  <drawing r:id="rId1"/>
</worksheet>
</file>